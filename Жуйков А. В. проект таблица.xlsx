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xr:revisionPtr revIDLastSave="0" documentId="8_{A505A446-1929-4AFA-9F3B-FAA5884C458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8" i="1" l="1"/>
  <c r="D8" i="1"/>
  <c r="D10" i="1"/>
  <c r="D7" i="1" s="1"/>
  <c r="D13" i="1"/>
  <c r="D12" i="1" s="1"/>
  <c r="D17" i="1"/>
  <c r="D31" i="1"/>
  <c r="C17" i="1"/>
  <c r="C13" i="1"/>
  <c r="C18" i="1"/>
  <c r="C10" i="1"/>
  <c r="C7" i="1" s="1"/>
  <c r="C8" i="1"/>
  <c r="C31" i="1" s="1"/>
  <c r="D11" i="1" l="1"/>
  <c r="C12" i="1"/>
  <c r="D24" i="1" l="1"/>
  <c r="D21" i="1"/>
  <c r="D22" i="1" s="1"/>
  <c r="D23" i="1" s="1"/>
  <c r="C11" i="1"/>
  <c r="C24" i="1" l="1"/>
  <c r="C21" i="1"/>
  <c r="C22" i="1" s="1"/>
  <c r="C23" i="1" s="1"/>
</calcChain>
</file>

<file path=xl/sharedStrings.xml><?xml version="1.0" encoding="utf-8"?>
<sst xmlns="http://schemas.openxmlformats.org/spreadsheetml/2006/main" count="41" uniqueCount="39">
  <si>
    <t>Наименование сценария</t>
  </si>
  <si>
    <t>Количество клиентов в день</t>
  </si>
  <si>
    <t>Доходы (продуктивность)</t>
  </si>
  <si>
    <t>Марижинальная прибыль</t>
  </si>
  <si>
    <t>Затраты (себестоимость)</t>
  </si>
  <si>
    <t>Постоянные издержки</t>
  </si>
  <si>
    <t>Аренда помещения</t>
  </si>
  <si>
    <t>Реклама</t>
  </si>
  <si>
    <t>Иные издержки</t>
  </si>
  <si>
    <t>Переменные издержки</t>
  </si>
  <si>
    <t>Транспортные расходы</t>
  </si>
  <si>
    <t>Эффективность</t>
  </si>
  <si>
    <t>Чистая прибыль с 1 продажи</t>
  </si>
  <si>
    <t>Чистая прибыль с 1 продажи % от маржи</t>
  </si>
  <si>
    <t>Себестоимость обработки одного клиента</t>
  </si>
  <si>
    <t>Средняя длительность обслуживания</t>
  </si>
  <si>
    <t>Максимальное время ожидания + кого + операция</t>
  </si>
  <si>
    <t>Доля отказов от покупки в % от общего кол-ва заказов</t>
  </si>
  <si>
    <t>Вывод</t>
  </si>
  <si>
    <t>1. AS IS</t>
  </si>
  <si>
    <t>Параметры сценария</t>
  </si>
  <si>
    <t>Количество клиентов за 30 дней</t>
  </si>
  <si>
    <t>Чистая прибыль за месяц</t>
  </si>
  <si>
    <t>2. TO BE</t>
  </si>
  <si>
    <t>ЗП баристы в час</t>
  </si>
  <si>
    <t>ЗП уборщицы в час</t>
  </si>
  <si>
    <t>Количество продаж кофе и выпечки</t>
  </si>
  <si>
    <t>Средняя маржа при продаже кофе и выпечки</t>
  </si>
  <si>
    <t>ЗП сотрудников за 30 дней</t>
  </si>
  <si>
    <t>5 min</t>
  </si>
  <si>
    <t>6 min 9 sec</t>
  </si>
  <si>
    <t>Бариста</t>
  </si>
  <si>
    <t>Приготовление кофе</t>
  </si>
  <si>
    <t>Средняя загрузка баристы в % от рабочего времени</t>
  </si>
  <si>
    <t>Средняя загрузка уборщицы в % от рабочего времени</t>
  </si>
  <si>
    <t>Закупка рекламы, повышение квалификации баристы, съем помещения с большим складом и увеличение поставок</t>
  </si>
  <si>
    <t>Обслуживание оборудования</t>
  </si>
  <si>
    <t>3 min 30 sec</t>
  </si>
  <si>
    <t>5 min 34 sec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</si>
</sst>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charset val="204"/>
      <scheme val="minor"/>
    </font>
    <font>
      <sz val="11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2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7C80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2" fillId="2" borderId="1" xfId="0" applyFont="1" applyFill="1" applyBorder="1"/>
    <xf numFmtId="0" fontId="2" fillId="3" borderId="1" xfId="0" applyFont="1" applyFill="1" applyBorder="1"/>
    <xf numFmtId="0" fontId="4" fillId="3" borderId="1" xfId="0" applyFont="1" applyFill="1" applyBorder="1" applyAlignment="1">
      <alignment horizontal="center" vertical="center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1" fillId="8" borderId="0" xfId="0" applyFont="1" applyFill="1"/>
    <xf numFmtId="0" fontId="1" fillId="7" borderId="0" xfId="0" applyFont="1" applyFill="1"/>
    <xf numFmtId="0" fontId="1" fillId="6" borderId="0" xfId="0" applyFont="1" applyFill="1"/>
    <xf numFmtId="0" fontId="1" fillId="5" borderId="0" xfId="0" applyFont="1" applyFill="1"/>
    <xf numFmtId="0" fontId="1" fillId="4" borderId="0" xfId="0" applyFont="1" applyFill="1"/>
    <xf numFmtId="0" fontId="5" fillId="3" borderId="1" xfId="0" applyFont="1" applyFill="1" applyBorder="1" applyAlignment="1">
      <alignment horizontal="left" vertical="center"/>
    </xf>
    <xf numFmtId="0" fontId="0" fillId="0" borderId="0" xfId="0" applyAlignment="1">
      <alignment horizontal="left"/>
    </xf>
    <xf numFmtId="0" fontId="0" fillId="4" borderId="0" xfId="0" applyFill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0" fontId="0" fillId="8" borderId="0" xfId="0" applyFill="1" applyAlignment="1">
      <alignment horizontal="left"/>
    </xf>
    <xf numFmtId="0" fontId="3" fillId="2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left" vertical="center"/>
    </xf>
    <xf numFmtId="0" fontId="7" fillId="3" borderId="1" xfId="0" applyFont="1" applyFill="1" applyBorder="1" applyAlignment="1">
      <alignment wrapText="1"/>
    </xf>
    <xf numFmtId="0" fontId="0" fillId="0" borderId="0" xfId="0" applyAlignment="1">
      <alignment horizontal="left" vertical="center"/>
    </xf>
    <xf numFmtId="0" fontId="4" fillId="2" borderId="1" xfId="0" applyFont="1" applyFill="1" applyBorder="1"/>
    <xf numFmtId="10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CCCC"/>
      <color rgb="FFFF7C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2"/>
  <sheetViews>
    <sheetView tabSelected="1" zoomScale="85" zoomScaleNormal="85" workbookViewId="0">
      <selection activeCell="C15" sqref="C15"/>
    </sheetView>
  </sheetViews>
  <sheetFormatPr defaultRowHeight="15" x14ac:dyDescent="0.25"/>
  <cols>
    <col min="1" max="1" width="4.5703125" customWidth="1"/>
    <col min="2" max="2" width="57.28515625" customWidth="1"/>
    <col min="3" max="3" width="21.7109375" customWidth="1"/>
    <col min="4" max="4" width="30.85546875" customWidth="1"/>
    <col min="5" max="5" width="27.5703125" customWidth="1"/>
  </cols>
  <sheetData>
    <row r="1" spans="1:14" ht="19.5" customHeight="1" x14ac:dyDescent="0.3">
      <c r="A1" s="1"/>
      <c r="B1" s="21" t="s">
        <v>0</v>
      </c>
      <c r="C1" s="22" t="s">
        <v>19</v>
      </c>
      <c r="D1" s="25" t="s">
        <v>23</v>
      </c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ht="64.5" customHeight="1" x14ac:dyDescent="0.25">
      <c r="A2" s="2"/>
      <c r="B2" s="14" t="s">
        <v>20</v>
      </c>
      <c r="C2" s="3"/>
      <c r="D2" s="23" t="s">
        <v>35</v>
      </c>
      <c r="E2" s="2"/>
      <c r="F2" s="2"/>
      <c r="G2" s="2"/>
      <c r="H2" s="2"/>
      <c r="I2" s="2"/>
      <c r="J2" s="2"/>
      <c r="K2" s="2"/>
      <c r="L2" s="2"/>
      <c r="M2" s="2"/>
      <c r="N2" s="2"/>
    </row>
    <row r="3" spans="1:14" x14ac:dyDescent="0.25">
      <c r="B3" t="s">
        <v>1</v>
      </c>
      <c r="C3" s="15">
        <v>80</v>
      </c>
      <c r="D3" s="15">
        <v>110</v>
      </c>
    </row>
    <row r="4" spans="1:14" x14ac:dyDescent="0.25">
      <c r="B4" t="s">
        <v>27</v>
      </c>
      <c r="C4" s="15">
        <v>280</v>
      </c>
      <c r="D4" s="15">
        <v>280</v>
      </c>
    </row>
    <row r="5" spans="1:14" x14ac:dyDescent="0.25">
      <c r="B5" t="s">
        <v>24</v>
      </c>
      <c r="C5" s="15">
        <v>200</v>
      </c>
      <c r="D5" s="15">
        <v>260</v>
      </c>
    </row>
    <row r="6" spans="1:14" x14ac:dyDescent="0.25">
      <c r="B6" t="s">
        <v>25</v>
      </c>
      <c r="C6" s="15">
        <v>180</v>
      </c>
      <c r="D6" s="15">
        <v>180</v>
      </c>
    </row>
    <row r="7" spans="1:14" ht="15.75" x14ac:dyDescent="0.25">
      <c r="A7" s="4"/>
      <c r="B7" s="13" t="s">
        <v>2</v>
      </c>
      <c r="C7" s="16">
        <f>C10</f>
        <v>537040</v>
      </c>
      <c r="D7" s="16">
        <f>D10</f>
        <v>873040</v>
      </c>
      <c r="E7" s="4"/>
      <c r="F7" s="4"/>
      <c r="G7" s="4"/>
      <c r="H7" s="4"/>
      <c r="I7" s="4"/>
      <c r="J7" s="4"/>
      <c r="K7" s="4"/>
      <c r="L7" s="4"/>
      <c r="M7" s="4"/>
      <c r="N7" s="4"/>
    </row>
    <row r="8" spans="1:14" x14ac:dyDescent="0.25">
      <c r="B8" t="s">
        <v>21</v>
      </c>
      <c r="C8" s="15">
        <f>C3*30</f>
        <v>2400</v>
      </c>
      <c r="D8" s="15">
        <f>D3*30</f>
        <v>3300</v>
      </c>
    </row>
    <row r="9" spans="1:14" x14ac:dyDescent="0.25">
      <c r="B9" t="s">
        <v>26</v>
      </c>
      <c r="C9" s="15">
        <v>1918</v>
      </c>
      <c r="D9" s="15">
        <v>3118</v>
      </c>
    </row>
    <row r="10" spans="1:14" x14ac:dyDescent="0.25">
      <c r="B10" t="s">
        <v>3</v>
      </c>
      <c r="C10" s="15">
        <f>C9*C4</f>
        <v>537040</v>
      </c>
      <c r="D10" s="15">
        <f>D9*D4</f>
        <v>873040</v>
      </c>
    </row>
    <row r="11" spans="1:14" ht="15.75" x14ac:dyDescent="0.25">
      <c r="A11" s="5"/>
      <c r="B11" s="12" t="s">
        <v>4</v>
      </c>
      <c r="C11" s="17">
        <f>C12+C17</f>
        <v>242300</v>
      </c>
      <c r="D11" s="17">
        <f>D12+D17</f>
        <v>312900</v>
      </c>
      <c r="E11" s="5"/>
      <c r="F11" s="5"/>
      <c r="G11" s="5"/>
      <c r="H11" s="5"/>
      <c r="I11" s="5"/>
      <c r="J11" s="5"/>
      <c r="K11" s="5"/>
      <c r="L11" s="5"/>
      <c r="M11" s="5"/>
      <c r="N11" s="5"/>
    </row>
    <row r="12" spans="1:14" ht="15.75" x14ac:dyDescent="0.25">
      <c r="A12" s="6"/>
      <c r="B12" s="11" t="s">
        <v>5</v>
      </c>
      <c r="C12" s="18">
        <f>SUM(C13:C16)</f>
        <v>234300</v>
      </c>
      <c r="D12" s="18">
        <f>SUM(D13:D16)</f>
        <v>300900</v>
      </c>
      <c r="E12" s="6"/>
      <c r="F12" s="6"/>
      <c r="G12" s="6"/>
      <c r="H12" s="6"/>
      <c r="I12" s="6"/>
      <c r="J12" s="6"/>
      <c r="K12" s="6"/>
      <c r="L12" s="6"/>
      <c r="M12" s="6"/>
      <c r="N12" s="6"/>
    </row>
    <row r="13" spans="1:14" x14ac:dyDescent="0.25">
      <c r="B13" t="s">
        <v>28</v>
      </c>
      <c r="C13" s="15">
        <f>(C5*12*30)+(C6*12*30)</f>
        <v>136800</v>
      </c>
      <c r="D13" s="15">
        <f>(D5*12*30)+(D6*12*30)</f>
        <v>158400</v>
      </c>
    </row>
    <row r="14" spans="1:14" x14ac:dyDescent="0.25">
      <c r="B14" t="s">
        <v>6</v>
      </c>
      <c r="C14" s="15">
        <v>90000</v>
      </c>
      <c r="D14" s="15">
        <v>120000</v>
      </c>
    </row>
    <row r="15" spans="1:14" x14ac:dyDescent="0.25">
      <c r="B15" t="s">
        <v>7</v>
      </c>
      <c r="C15" s="15">
        <v>0</v>
      </c>
      <c r="D15" s="15">
        <v>15000</v>
      </c>
    </row>
    <row r="16" spans="1:14" x14ac:dyDescent="0.25">
      <c r="B16" t="s">
        <v>8</v>
      </c>
      <c r="C16" s="15">
        <v>7500</v>
      </c>
      <c r="D16" s="15">
        <v>7500</v>
      </c>
    </row>
    <row r="17" spans="1:14" ht="15.75" x14ac:dyDescent="0.25">
      <c r="A17" s="6"/>
      <c r="B17" s="11" t="s">
        <v>9</v>
      </c>
      <c r="C17" s="18">
        <f>C18+C19</f>
        <v>8000</v>
      </c>
      <c r="D17" s="18">
        <f>D18+D19</f>
        <v>12000</v>
      </c>
      <c r="E17" s="6"/>
      <c r="F17" s="6"/>
      <c r="G17" s="6"/>
      <c r="H17" s="6"/>
      <c r="I17" s="6"/>
      <c r="J17" s="6"/>
      <c r="K17" s="6"/>
      <c r="L17" s="6"/>
      <c r="M17" s="6"/>
      <c r="N17" s="6"/>
    </row>
    <row r="18" spans="1:14" x14ac:dyDescent="0.25">
      <c r="B18" t="s">
        <v>10</v>
      </c>
      <c r="C18" s="15">
        <f>5000</f>
        <v>5000</v>
      </c>
      <c r="D18" s="15">
        <f>9000</f>
        <v>9000</v>
      </c>
    </row>
    <row r="19" spans="1:14" x14ac:dyDescent="0.25">
      <c r="B19" t="s">
        <v>36</v>
      </c>
      <c r="C19" s="15">
        <v>3000</v>
      </c>
      <c r="D19" s="15">
        <v>3000</v>
      </c>
    </row>
    <row r="20" spans="1:14" ht="15.75" x14ac:dyDescent="0.25">
      <c r="A20" s="7"/>
      <c r="B20" s="10" t="s">
        <v>11</v>
      </c>
      <c r="C20" s="19"/>
      <c r="D20" s="19"/>
      <c r="E20" s="7"/>
      <c r="F20" s="7"/>
      <c r="G20" s="7"/>
      <c r="H20" s="7"/>
      <c r="I20" s="7"/>
      <c r="J20" s="7"/>
      <c r="K20" s="7"/>
      <c r="L20" s="7"/>
      <c r="M20" s="7"/>
      <c r="N20" s="7"/>
    </row>
    <row r="21" spans="1:14" x14ac:dyDescent="0.25">
      <c r="B21" t="s">
        <v>22</v>
      </c>
      <c r="C21" s="15">
        <f>C7-C11</f>
        <v>294740</v>
      </c>
      <c r="D21" s="15">
        <f>D7-D11</f>
        <v>560140</v>
      </c>
    </row>
    <row r="22" spans="1:14" x14ac:dyDescent="0.25">
      <c r="B22" t="s">
        <v>12</v>
      </c>
      <c r="C22" s="15">
        <f>C21/C9</f>
        <v>153.67049009384775</v>
      </c>
      <c r="D22" s="15">
        <f>D21/D9</f>
        <v>179.64720974983965</v>
      </c>
    </row>
    <row r="23" spans="1:14" x14ac:dyDescent="0.25">
      <c r="B23" t="s">
        <v>13</v>
      </c>
      <c r="C23" s="15">
        <f>C22/C4</f>
        <v>0.54882317890659904</v>
      </c>
      <c r="D23" s="15">
        <f>D22/D4</f>
        <v>0.64159717767799873</v>
      </c>
    </row>
    <row r="24" spans="1:14" x14ac:dyDescent="0.25">
      <c r="B24" t="s">
        <v>14</v>
      </c>
      <c r="C24" s="15">
        <f>C11/C8</f>
        <v>100.95833333333333</v>
      </c>
      <c r="D24" s="15">
        <f>D11/D8</f>
        <v>94.818181818181813</v>
      </c>
    </row>
    <row r="25" spans="1:14" x14ac:dyDescent="0.25">
      <c r="B25" t="s">
        <v>15</v>
      </c>
      <c r="C25" s="15" t="s">
        <v>30</v>
      </c>
      <c r="D25" s="15" t="s">
        <v>38</v>
      </c>
    </row>
    <row r="26" spans="1:14" x14ac:dyDescent="0.25">
      <c r="B26" s="24" t="s">
        <v>16</v>
      </c>
      <c r="C26" s="15" t="s">
        <v>29</v>
      </c>
      <c r="D26" s="15" t="s">
        <v>37</v>
      </c>
    </row>
    <row r="27" spans="1:14" x14ac:dyDescent="0.25">
      <c r="B27" s="24"/>
      <c r="C27" s="15" t="s">
        <v>31</v>
      </c>
      <c r="D27" s="15" t="s">
        <v>31</v>
      </c>
    </row>
    <row r="28" spans="1:14" x14ac:dyDescent="0.25">
      <c r="B28" s="24"/>
      <c r="C28" s="15" t="s">
        <v>32</v>
      </c>
      <c r="D28" s="15" t="s">
        <v>32</v>
      </c>
    </row>
    <row r="29" spans="1:14" x14ac:dyDescent="0.25">
      <c r="B29" t="s">
        <v>33</v>
      </c>
      <c r="C29" s="26">
        <v>0.51600000000000001</v>
      </c>
      <c r="D29" s="26">
        <v>0.54920000000000002</v>
      </c>
    </row>
    <row r="30" spans="1:14" x14ac:dyDescent="0.25">
      <c r="B30" t="s">
        <v>34</v>
      </c>
      <c r="C30" s="26">
        <v>4.1799999999999997E-2</v>
      </c>
      <c r="D30" s="26">
        <v>4.8300000000000003E-2</v>
      </c>
    </row>
    <row r="31" spans="1:14" x14ac:dyDescent="0.25">
      <c r="B31" t="s">
        <v>17</v>
      </c>
      <c r="C31" s="15">
        <f>(C8-C9)/C8</f>
        <v>0.20083333333333334</v>
      </c>
      <c r="D31" s="15">
        <f>(D8-D9)/D8</f>
        <v>5.5151515151515153E-2</v>
      </c>
    </row>
    <row r="32" spans="1:14" ht="15.75" x14ac:dyDescent="0.25">
      <c r="A32" s="8"/>
      <c r="B32" s="9" t="s">
        <v>18</v>
      </c>
      <c r="C32" s="20"/>
      <c r="D32" s="20"/>
      <c r="E32" s="8"/>
      <c r="F32" s="8"/>
      <c r="G32" s="8"/>
      <c r="H32" s="8"/>
      <c r="I32" s="8"/>
      <c r="J32" s="8"/>
      <c r="K32" s="8"/>
      <c r="L32" s="8"/>
      <c r="M32" s="8"/>
      <c r="N32" s="8"/>
    </row>
  </sheetData>
  <mergeCells count="1">
    <mergeCell ref="B26:B28"/>
  </mergeCells>
  <phoneticPr fontId="6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Никита Угарин</dc:creator>
  <cp:lastModifiedBy>Алексей Жуйков</cp:lastModifiedBy>
  <dcterms:created xsi:type="dcterms:W3CDTF">2015-06-05T18:19:34Z</dcterms:created>
  <dcterms:modified xsi:type="dcterms:W3CDTF">2025-07-01T13:17:11Z</dcterms:modified>
</cp:coreProperties>
</file>